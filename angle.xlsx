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dio-zcu208\"/>
    </mc:Choice>
  </mc:AlternateContent>
  <xr:revisionPtr revIDLastSave="0" documentId="13_ncr:1_{110D5E8C-C0E4-4AFF-908B-3BC8D400B257}" xr6:coauthVersionLast="47" xr6:coauthVersionMax="47" xr10:uidLastSave="{00000000-0000-0000-0000-000000000000}"/>
  <bookViews>
    <workbookView xWindow="2715" yWindow="5205" windowWidth="19140" windowHeight="10635" xr2:uid="{95DD9B03-E977-4F2B-8BD5-666F9F2708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8" i="1" l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V22" i="1"/>
  <c r="U22" i="1"/>
  <c r="T22" i="1"/>
  <c r="V21" i="1"/>
  <c r="U21" i="1"/>
  <c r="T21" i="1"/>
  <c r="V20" i="1"/>
  <c r="U20" i="1"/>
  <c r="T20" i="1"/>
  <c r="V19" i="1"/>
  <c r="U19" i="1"/>
  <c r="T19" i="1"/>
  <c r="V18" i="1"/>
  <c r="U18" i="1"/>
  <c r="T18" i="1"/>
  <c r="V17" i="1"/>
  <c r="U17" i="1"/>
  <c r="T17" i="1"/>
  <c r="V16" i="1"/>
  <c r="U16" i="1"/>
  <c r="T16" i="1"/>
  <c r="V15" i="1"/>
  <c r="U15" i="1"/>
  <c r="T15" i="1"/>
  <c r="V14" i="1"/>
  <c r="U14" i="1"/>
  <c r="T14" i="1"/>
  <c r="V13" i="1"/>
  <c r="U13" i="1"/>
  <c r="T13" i="1"/>
  <c r="V12" i="1"/>
  <c r="U12" i="1"/>
  <c r="T12" i="1"/>
  <c r="V11" i="1"/>
  <c r="U11" i="1"/>
  <c r="T11" i="1"/>
  <c r="V10" i="1"/>
  <c r="U10" i="1"/>
  <c r="T10" i="1"/>
  <c r="V9" i="1"/>
  <c r="U9" i="1"/>
  <c r="T9" i="1"/>
  <c r="V8" i="1"/>
  <c r="U8" i="1"/>
  <c r="T8" i="1"/>
  <c r="V7" i="1"/>
  <c r="U7" i="1"/>
  <c r="T7" i="1"/>
  <c r="V6" i="1"/>
  <c r="U6" i="1"/>
  <c r="T6" i="1"/>
  <c r="V5" i="1"/>
  <c r="U5" i="1"/>
  <c r="T5" i="1"/>
  <c r="V4" i="1"/>
  <c r="U4" i="1"/>
  <c r="T4" i="1"/>
  <c r="V3" i="1"/>
  <c r="U3" i="1"/>
  <c r="T3" i="1"/>
</calcChain>
</file>

<file path=xl/sharedStrings.xml><?xml version="1.0" encoding="utf-8"?>
<sst xmlns="http://schemas.openxmlformats.org/spreadsheetml/2006/main" count="167" uniqueCount="28">
  <si>
    <t>EW</t>
  </si>
  <si>
    <t>NE</t>
  </si>
  <si>
    <t>WN</t>
  </si>
  <si>
    <t>Base</t>
  </si>
  <si>
    <t>ID</t>
  </si>
  <si>
    <t>EW (0) - phi</t>
  </si>
  <si>
    <t>WN (120) - phi</t>
  </si>
  <si>
    <t>NE (240) - phi</t>
  </si>
  <si>
    <t>NE (60) + phi</t>
  </si>
  <si>
    <t>EW (180) + phi</t>
  </si>
  <si>
    <t>WN (300) + phi</t>
  </si>
  <si>
    <t>1,+</t>
  </si>
  <si>
    <t>2,-</t>
  </si>
  <si>
    <t>1,-</t>
  </si>
  <si>
    <t>2,+</t>
  </si>
  <si>
    <t>use</t>
  </si>
  <si>
    <t>front</t>
  </si>
  <si>
    <t>use_id</t>
  </si>
  <si>
    <t>base</t>
  </si>
  <si>
    <t>angle</t>
  </si>
  <si>
    <t>shadow</t>
  </si>
  <si>
    <t>none</t>
  </si>
  <si>
    <t>W</t>
  </si>
  <si>
    <t>E</t>
  </si>
  <si>
    <t>N</t>
  </si>
  <si>
    <t>Phase</t>
  </si>
  <si>
    <t>Delay</t>
  </si>
  <si>
    <t>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</si>
</sst>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124CC-6FFE-47E0-8DD9-E7CCDFA2FBAF}">
  <dimension ref="A1:V39"/>
  <sheetViews>
    <sheetView tabSelected="1" topLeftCell="D1" workbookViewId="0">
      <selection activeCell="T4" sqref="T4"/>
    </sheetView>
  </sheetViews>
  <sheetFormatPr defaultRowHeight="15" x14ac:dyDescent="0.25"/>
  <cols>
    <col min="6" max="6" width="17" customWidth="1"/>
    <col min="8" max="8" width="6.7109375" customWidth="1"/>
    <col min="9" max="9" width="10.5703125" customWidth="1"/>
    <col min="10" max="10" width="8.7109375" customWidth="1"/>
    <col min="11" max="13" width="9.5703125" customWidth="1"/>
    <col min="14" max="14" width="9.42578125" customWidth="1"/>
    <col min="15" max="15" width="8.42578125" customWidth="1"/>
    <col min="16" max="17" width="8.140625" customWidth="1"/>
    <col min="18" max="19" width="8" customWidth="1"/>
  </cols>
  <sheetData>
    <row r="1" spans="1:22" x14ac:dyDescent="0.25">
      <c r="O1" t="s">
        <v>25</v>
      </c>
      <c r="R1" t="s">
        <v>26</v>
      </c>
      <c r="U1" t="s">
        <v>27</v>
      </c>
    </row>
    <row r="2" spans="1:22" x14ac:dyDescent="0.25">
      <c r="B2" t="s">
        <v>1</v>
      </c>
      <c r="C2" t="s">
        <v>0</v>
      </c>
      <c r="D2" t="s">
        <v>2</v>
      </c>
      <c r="E2" t="s">
        <v>4</v>
      </c>
      <c r="F2" t="s">
        <v>3</v>
      </c>
      <c r="H2" t="s">
        <v>17</v>
      </c>
      <c r="I2" t="s">
        <v>18</v>
      </c>
      <c r="J2" t="s">
        <v>15</v>
      </c>
      <c r="K2" t="s">
        <v>16</v>
      </c>
      <c r="L2" t="s">
        <v>19</v>
      </c>
      <c r="M2" t="s">
        <v>20</v>
      </c>
      <c r="N2" t="s">
        <v>1</v>
      </c>
      <c r="O2" t="s">
        <v>0</v>
      </c>
      <c r="P2" t="s">
        <v>2</v>
      </c>
      <c r="Q2" t="s">
        <v>1</v>
      </c>
      <c r="R2" t="s">
        <v>0</v>
      </c>
      <c r="S2" t="s">
        <v>2</v>
      </c>
      <c r="T2" t="s">
        <v>1</v>
      </c>
      <c r="U2" t="s">
        <v>0</v>
      </c>
      <c r="V2" t="s">
        <v>2</v>
      </c>
    </row>
    <row r="3" spans="1:22" x14ac:dyDescent="0.25">
      <c r="A3">
        <v>0</v>
      </c>
      <c r="B3">
        <v>-60</v>
      </c>
      <c r="C3" s="1">
        <v>0</v>
      </c>
      <c r="D3" s="1">
        <v>60</v>
      </c>
      <c r="E3" s="2" t="s">
        <v>0</v>
      </c>
      <c r="F3" t="s">
        <v>5</v>
      </c>
      <c r="G3" t="s">
        <v>11</v>
      </c>
      <c r="H3">
        <v>1</v>
      </c>
      <c r="I3">
        <v>0</v>
      </c>
      <c r="J3">
        <v>0</v>
      </c>
      <c r="K3">
        <v>0</v>
      </c>
      <c r="L3">
        <v>0</v>
      </c>
      <c r="M3" t="s">
        <v>21</v>
      </c>
      <c r="N3">
        <v>-278705</v>
      </c>
      <c r="O3">
        <v>0</v>
      </c>
      <c r="P3">
        <v>278705</v>
      </c>
      <c r="Q3">
        <v>-227023</v>
      </c>
      <c r="R3">
        <v>0</v>
      </c>
      <c r="S3">
        <v>227023</v>
      </c>
      <c r="T3">
        <f>N3/Q3</f>
        <v>1.2276509428560103</v>
      </c>
      <c r="U3" s="1" t="e">
        <f>O3/R3</f>
        <v>#DIV/0!</v>
      </c>
      <c r="V3">
        <f>P3/S3</f>
        <v>1.2276509428560103</v>
      </c>
    </row>
    <row r="4" spans="1:22" x14ac:dyDescent="0.25">
      <c r="A4">
        <v>10</v>
      </c>
      <c r="B4" s="1">
        <v>-50</v>
      </c>
      <c r="C4" s="1">
        <v>-10</v>
      </c>
      <c r="D4">
        <v>70</v>
      </c>
      <c r="E4" s="2" t="s">
        <v>0</v>
      </c>
      <c r="F4" t="s">
        <v>5</v>
      </c>
      <c r="G4" t="s">
        <v>12</v>
      </c>
      <c r="H4">
        <v>1</v>
      </c>
      <c r="I4">
        <v>0</v>
      </c>
      <c r="J4">
        <v>-10</v>
      </c>
      <c r="K4">
        <v>0</v>
      </c>
      <c r="L4">
        <v>10</v>
      </c>
      <c r="M4" t="s">
        <v>21</v>
      </c>
      <c r="N4">
        <v>-246525</v>
      </c>
      <c r="O4">
        <v>-55888</v>
      </c>
      <c r="P4">
        <v>302412</v>
      </c>
      <c r="Q4">
        <v>-200800</v>
      </c>
      <c r="R4">
        <v>-45542</v>
      </c>
      <c r="S4">
        <v>246342</v>
      </c>
      <c r="T4">
        <f t="shared" ref="T4:V4" si="0">N4/Q4</f>
        <v>1.2277141434262948</v>
      </c>
      <c r="U4" s="1">
        <f t="shared" si="0"/>
        <v>1.2271749154626499</v>
      </c>
      <c r="V4">
        <f t="shared" si="0"/>
        <v>1.2276103953040893</v>
      </c>
    </row>
    <row r="5" spans="1:22" x14ac:dyDescent="0.25">
      <c r="A5">
        <v>20</v>
      </c>
      <c r="B5" s="1">
        <v>-40</v>
      </c>
      <c r="C5" s="1">
        <v>-20</v>
      </c>
      <c r="D5">
        <v>80</v>
      </c>
      <c r="E5" s="2" t="s">
        <v>0</v>
      </c>
      <c r="F5" t="s">
        <v>5</v>
      </c>
      <c r="G5" t="s">
        <v>12</v>
      </c>
      <c r="H5">
        <v>0</v>
      </c>
      <c r="I5">
        <v>60</v>
      </c>
      <c r="J5">
        <v>-40</v>
      </c>
      <c r="K5">
        <v>1</v>
      </c>
      <c r="L5">
        <v>20</v>
      </c>
      <c r="M5" t="s">
        <v>22</v>
      </c>
      <c r="N5">
        <v>-206860</v>
      </c>
      <c r="O5">
        <v>-110077</v>
      </c>
      <c r="P5">
        <v>316935</v>
      </c>
      <c r="Q5">
        <v>-168579</v>
      </c>
      <c r="R5">
        <v>-89565</v>
      </c>
      <c r="S5">
        <v>258143</v>
      </c>
      <c r="T5">
        <f t="shared" ref="T5" si="1">N5/Q5</f>
        <v>1.2270804785886735</v>
      </c>
      <c r="U5" s="1">
        <f t="shared" ref="U5:U38" si="2">O5/R5</f>
        <v>1.2290180315971642</v>
      </c>
      <c r="V5">
        <f t="shared" ref="V5:V38" si="3">P5/S5</f>
        <v>1.2277497356116571</v>
      </c>
    </row>
    <row r="6" spans="1:22" x14ac:dyDescent="0.25">
      <c r="A6">
        <v>30</v>
      </c>
      <c r="B6" s="1">
        <v>-30</v>
      </c>
      <c r="C6" s="1">
        <v>-30</v>
      </c>
      <c r="D6">
        <v>90</v>
      </c>
      <c r="E6" s="2" t="s">
        <v>0</v>
      </c>
      <c r="F6" t="s">
        <v>5</v>
      </c>
      <c r="G6" t="s">
        <v>12</v>
      </c>
      <c r="H6">
        <v>0</v>
      </c>
      <c r="I6">
        <v>60</v>
      </c>
      <c r="J6">
        <v>-30</v>
      </c>
      <c r="K6">
        <v>1</v>
      </c>
      <c r="L6">
        <v>30</v>
      </c>
      <c r="M6" t="s">
        <v>22</v>
      </c>
      <c r="N6">
        <v>-160913</v>
      </c>
      <c r="O6">
        <v>-160920</v>
      </c>
      <c r="P6">
        <v>321803</v>
      </c>
      <c r="Q6">
        <v>-131137</v>
      </c>
      <c r="R6">
        <v>-131006</v>
      </c>
      <c r="S6">
        <v>262144</v>
      </c>
      <c r="T6" s="1">
        <f t="shared" ref="T6:T7" si="4">N6/Q6</f>
        <v>1.2270602499675911</v>
      </c>
      <c r="U6">
        <f t="shared" si="2"/>
        <v>1.228340686686106</v>
      </c>
      <c r="V6">
        <f t="shared" si="3"/>
        <v>1.2275810241699219</v>
      </c>
    </row>
    <row r="7" spans="1:22" x14ac:dyDescent="0.25">
      <c r="A7">
        <v>40</v>
      </c>
      <c r="B7" s="1">
        <v>-20</v>
      </c>
      <c r="C7" s="1">
        <v>-40</v>
      </c>
      <c r="D7">
        <v>80</v>
      </c>
      <c r="E7" s="2" t="s">
        <v>1</v>
      </c>
      <c r="F7" t="s">
        <v>8</v>
      </c>
      <c r="G7" t="s">
        <v>13</v>
      </c>
      <c r="H7">
        <v>0</v>
      </c>
      <c r="I7">
        <v>60</v>
      </c>
      <c r="J7">
        <v>-20</v>
      </c>
      <c r="K7">
        <v>1</v>
      </c>
      <c r="L7">
        <v>40</v>
      </c>
      <c r="M7" t="s">
        <v>22</v>
      </c>
      <c r="N7">
        <v>-110075</v>
      </c>
      <c r="O7">
        <v>-206868</v>
      </c>
      <c r="P7">
        <v>316941</v>
      </c>
      <c r="Q7">
        <v>-89711</v>
      </c>
      <c r="R7">
        <v>-168460</v>
      </c>
      <c r="S7">
        <v>258172</v>
      </c>
      <c r="T7" s="1">
        <f t="shared" si="4"/>
        <v>1.2269955746786905</v>
      </c>
      <c r="U7">
        <f t="shared" si="2"/>
        <v>1.2279947762080019</v>
      </c>
      <c r="V7">
        <f t="shared" si="3"/>
        <v>1.2276350649954293</v>
      </c>
    </row>
    <row r="8" spans="1:22" x14ac:dyDescent="0.25">
      <c r="A8">
        <v>50</v>
      </c>
      <c r="B8" s="1">
        <v>-10</v>
      </c>
      <c r="C8" s="1">
        <v>-50</v>
      </c>
      <c r="D8">
        <v>70</v>
      </c>
      <c r="E8" s="2" t="s">
        <v>1</v>
      </c>
      <c r="F8" t="s">
        <v>8</v>
      </c>
      <c r="G8" t="s">
        <v>13</v>
      </c>
      <c r="H8">
        <v>0</v>
      </c>
      <c r="I8">
        <v>60</v>
      </c>
      <c r="J8">
        <v>-10</v>
      </c>
      <c r="K8">
        <v>1</v>
      </c>
      <c r="L8">
        <v>50</v>
      </c>
      <c r="M8" t="s">
        <v>21</v>
      </c>
      <c r="N8">
        <v>-55884</v>
      </c>
      <c r="O8">
        <v>-246534</v>
      </c>
      <c r="P8">
        <v>302417</v>
      </c>
      <c r="Q8">
        <v>-45542</v>
      </c>
      <c r="R8">
        <v>-200800</v>
      </c>
      <c r="S8">
        <v>246342</v>
      </c>
      <c r="T8" s="1">
        <f t="shared" ref="T8:V38" si="5">N8/Q8</f>
        <v>1.2270870844495192</v>
      </c>
      <c r="U8">
        <f t="shared" si="2"/>
        <v>1.2277589641434263</v>
      </c>
      <c r="V8">
        <f t="shared" si="3"/>
        <v>1.2276306922895812</v>
      </c>
    </row>
    <row r="9" spans="1:22" x14ac:dyDescent="0.25">
      <c r="A9">
        <v>60</v>
      </c>
      <c r="B9" s="1">
        <v>0</v>
      </c>
      <c r="C9">
        <v>-60</v>
      </c>
      <c r="D9" s="1">
        <v>60</v>
      </c>
      <c r="E9" s="2" t="s">
        <v>1</v>
      </c>
      <c r="F9" t="s">
        <v>8</v>
      </c>
      <c r="G9" t="s">
        <v>14</v>
      </c>
      <c r="H9">
        <v>0</v>
      </c>
      <c r="I9">
        <v>60</v>
      </c>
      <c r="J9">
        <v>0</v>
      </c>
      <c r="K9">
        <v>1</v>
      </c>
      <c r="L9">
        <v>60</v>
      </c>
      <c r="M9" t="s">
        <v>21</v>
      </c>
      <c r="N9">
        <v>0</v>
      </c>
      <c r="O9">
        <v>-278713</v>
      </c>
      <c r="P9">
        <v>278713</v>
      </c>
      <c r="Q9">
        <v>0</v>
      </c>
      <c r="R9">
        <v>-227023</v>
      </c>
      <c r="S9">
        <v>227023</v>
      </c>
      <c r="T9" t="e">
        <f t="shared" si="5"/>
        <v>#DIV/0!</v>
      </c>
      <c r="U9">
        <f t="shared" si="2"/>
        <v>1.227686181576316</v>
      </c>
      <c r="V9">
        <f t="shared" si="3"/>
        <v>1.227686181576316</v>
      </c>
    </row>
    <row r="10" spans="1:22" x14ac:dyDescent="0.25">
      <c r="A10">
        <v>70</v>
      </c>
      <c r="B10" s="1">
        <v>10</v>
      </c>
      <c r="C10">
        <v>-70</v>
      </c>
      <c r="D10" s="1">
        <v>50</v>
      </c>
      <c r="E10" s="2" t="s">
        <v>1</v>
      </c>
      <c r="F10" t="s">
        <v>8</v>
      </c>
      <c r="G10" t="s">
        <v>14</v>
      </c>
      <c r="H10">
        <v>0</v>
      </c>
      <c r="I10">
        <v>60</v>
      </c>
      <c r="J10">
        <v>10</v>
      </c>
      <c r="K10">
        <v>1</v>
      </c>
      <c r="L10">
        <v>70</v>
      </c>
      <c r="M10" t="s">
        <v>21</v>
      </c>
      <c r="N10">
        <v>55884</v>
      </c>
      <c r="O10">
        <v>-302417</v>
      </c>
      <c r="P10">
        <v>246534</v>
      </c>
      <c r="Q10">
        <v>45538</v>
      </c>
      <c r="R10">
        <v>-246340</v>
      </c>
      <c r="S10">
        <v>200802</v>
      </c>
      <c r="T10">
        <f t="shared" si="5"/>
        <v>1.2271948702182793</v>
      </c>
      <c r="U10">
        <f t="shared" si="2"/>
        <v>1.2276406592514411</v>
      </c>
      <c r="V10">
        <f t="shared" si="3"/>
        <v>1.2277467355902829</v>
      </c>
    </row>
    <row r="11" spans="1:22" x14ac:dyDescent="0.25">
      <c r="A11">
        <v>80</v>
      </c>
      <c r="B11" s="1">
        <v>20</v>
      </c>
      <c r="C11">
        <v>-80</v>
      </c>
      <c r="D11" s="1">
        <v>40</v>
      </c>
      <c r="E11" s="2" t="s">
        <v>1</v>
      </c>
      <c r="F11" t="s">
        <v>8</v>
      </c>
      <c r="G11" t="s">
        <v>14</v>
      </c>
      <c r="H11">
        <v>0</v>
      </c>
      <c r="I11">
        <v>60</v>
      </c>
      <c r="J11">
        <v>20</v>
      </c>
      <c r="K11">
        <v>1</v>
      </c>
      <c r="L11">
        <v>80</v>
      </c>
      <c r="M11" t="s">
        <v>22</v>
      </c>
      <c r="N11">
        <v>110075</v>
      </c>
      <c r="O11">
        <v>-316941</v>
      </c>
      <c r="P11">
        <v>206868</v>
      </c>
      <c r="Q11">
        <v>89705</v>
      </c>
      <c r="R11">
        <v>-258169</v>
      </c>
      <c r="S11">
        <v>168465</v>
      </c>
      <c r="T11">
        <f t="shared" si="5"/>
        <v>1.2270776433866564</v>
      </c>
      <c r="U11">
        <f t="shared" si="2"/>
        <v>1.2276493304773231</v>
      </c>
      <c r="V11">
        <f t="shared" si="3"/>
        <v>1.2279583296233638</v>
      </c>
    </row>
    <row r="12" spans="1:22" x14ac:dyDescent="0.25">
      <c r="A12">
        <v>90</v>
      </c>
      <c r="B12" s="1">
        <v>30</v>
      </c>
      <c r="C12">
        <v>-90</v>
      </c>
      <c r="D12" s="1">
        <v>30</v>
      </c>
      <c r="E12" s="2" t="s">
        <v>1</v>
      </c>
      <c r="F12" t="s">
        <v>8</v>
      </c>
      <c r="G12" t="s">
        <v>14</v>
      </c>
      <c r="H12">
        <v>0</v>
      </c>
      <c r="I12">
        <v>60</v>
      </c>
      <c r="J12">
        <v>30</v>
      </c>
      <c r="K12">
        <v>1</v>
      </c>
      <c r="L12">
        <v>90</v>
      </c>
      <c r="M12" t="s">
        <v>22</v>
      </c>
      <c r="N12">
        <v>160913</v>
      </c>
      <c r="O12">
        <v>-321803</v>
      </c>
      <c r="P12">
        <v>160920</v>
      </c>
      <c r="Q12">
        <v>131129</v>
      </c>
      <c r="R12">
        <v>-262143</v>
      </c>
      <c r="S12">
        <v>131015</v>
      </c>
      <c r="T12">
        <f t="shared" si="5"/>
        <v>1.2271351112263496</v>
      </c>
      <c r="U12">
        <f t="shared" si="2"/>
        <v>1.2275857070377618</v>
      </c>
      <c r="V12" s="1">
        <f t="shared" si="3"/>
        <v>1.2282563065297867</v>
      </c>
    </row>
    <row r="13" spans="1:22" x14ac:dyDescent="0.25">
      <c r="A13">
        <v>100</v>
      </c>
      <c r="B13" s="1">
        <v>40</v>
      </c>
      <c r="C13">
        <v>-80</v>
      </c>
      <c r="D13" s="1">
        <v>20</v>
      </c>
      <c r="E13" s="2" t="s">
        <v>2</v>
      </c>
      <c r="F13" t="s">
        <v>6</v>
      </c>
      <c r="G13" t="s">
        <v>11</v>
      </c>
      <c r="H13">
        <v>0</v>
      </c>
      <c r="I13">
        <v>60</v>
      </c>
      <c r="J13">
        <v>40</v>
      </c>
      <c r="K13">
        <v>1</v>
      </c>
      <c r="L13">
        <v>100</v>
      </c>
      <c r="M13" t="s">
        <v>22</v>
      </c>
      <c r="N13">
        <v>206860</v>
      </c>
      <c r="O13">
        <v>-316935</v>
      </c>
      <c r="P13">
        <v>110077</v>
      </c>
      <c r="Q13">
        <v>168568</v>
      </c>
      <c r="R13">
        <v>-258146</v>
      </c>
      <c r="S13">
        <v>89577</v>
      </c>
      <c r="T13">
        <f t="shared" si="5"/>
        <v>1.2271605524180154</v>
      </c>
      <c r="U13">
        <f t="shared" si="2"/>
        <v>1.2277354675261287</v>
      </c>
      <c r="V13" s="1">
        <f t="shared" si="3"/>
        <v>1.2288533887046897</v>
      </c>
    </row>
    <row r="14" spans="1:22" x14ac:dyDescent="0.25">
      <c r="A14">
        <v>110</v>
      </c>
      <c r="B14" s="1">
        <v>50</v>
      </c>
      <c r="C14">
        <v>-70</v>
      </c>
      <c r="D14" s="1">
        <v>10</v>
      </c>
      <c r="E14" s="2" t="s">
        <v>2</v>
      </c>
      <c r="F14" t="s">
        <v>6</v>
      </c>
      <c r="G14" t="s">
        <v>11</v>
      </c>
      <c r="H14">
        <v>2</v>
      </c>
      <c r="I14">
        <v>120</v>
      </c>
      <c r="J14">
        <v>10</v>
      </c>
      <c r="K14">
        <v>0</v>
      </c>
      <c r="L14">
        <v>110</v>
      </c>
      <c r="M14" t="s">
        <v>21</v>
      </c>
      <c r="N14">
        <v>246525</v>
      </c>
      <c r="O14">
        <v>-302412</v>
      </c>
      <c r="P14">
        <v>55888</v>
      </c>
      <c r="Q14">
        <v>200803</v>
      </c>
      <c r="R14">
        <v>-246341</v>
      </c>
      <c r="S14">
        <v>45537</v>
      </c>
      <c r="T14">
        <f t="shared" si="5"/>
        <v>1.2276958013575494</v>
      </c>
      <c r="U14">
        <f t="shared" si="2"/>
        <v>1.2276153786823956</v>
      </c>
      <c r="V14" s="1">
        <f t="shared" si="3"/>
        <v>1.2273096602762588</v>
      </c>
    </row>
    <row r="15" spans="1:22" x14ac:dyDescent="0.25">
      <c r="A15">
        <v>120</v>
      </c>
      <c r="B15" s="1">
        <v>60</v>
      </c>
      <c r="C15">
        <v>-60</v>
      </c>
      <c r="D15" s="1">
        <v>0</v>
      </c>
      <c r="E15" s="2" t="s">
        <v>2</v>
      </c>
      <c r="F15" t="s">
        <v>6</v>
      </c>
      <c r="G15" t="s">
        <v>11</v>
      </c>
      <c r="H15">
        <v>2</v>
      </c>
      <c r="I15">
        <v>120</v>
      </c>
      <c r="J15">
        <v>0</v>
      </c>
      <c r="K15">
        <v>0</v>
      </c>
      <c r="L15">
        <v>120</v>
      </c>
      <c r="M15" t="s">
        <v>21</v>
      </c>
      <c r="N15">
        <v>278705</v>
      </c>
      <c r="O15">
        <v>-278705</v>
      </c>
      <c r="P15">
        <v>0</v>
      </c>
      <c r="Q15">
        <v>227023</v>
      </c>
      <c r="R15">
        <v>-227023</v>
      </c>
      <c r="S15">
        <v>0</v>
      </c>
      <c r="T15">
        <f t="shared" si="5"/>
        <v>1.2276509428560103</v>
      </c>
      <c r="U15">
        <f t="shared" si="2"/>
        <v>1.2276509428560103</v>
      </c>
      <c r="V15" s="1" t="e">
        <f t="shared" si="3"/>
        <v>#DIV/0!</v>
      </c>
    </row>
    <row r="16" spans="1:22" x14ac:dyDescent="0.25">
      <c r="A16">
        <v>130</v>
      </c>
      <c r="B16">
        <v>70</v>
      </c>
      <c r="C16" s="1">
        <v>-50</v>
      </c>
      <c r="D16" s="1">
        <v>-10</v>
      </c>
      <c r="E16" s="2" t="s">
        <v>2</v>
      </c>
      <c r="F16" t="s">
        <v>6</v>
      </c>
      <c r="G16" t="s">
        <v>12</v>
      </c>
      <c r="H16">
        <v>2</v>
      </c>
      <c r="I16">
        <v>120</v>
      </c>
      <c r="J16">
        <v>-10</v>
      </c>
      <c r="K16">
        <v>0</v>
      </c>
      <c r="L16">
        <v>130</v>
      </c>
      <c r="M16" t="s">
        <v>21</v>
      </c>
      <c r="N16">
        <v>302412</v>
      </c>
      <c r="O16">
        <v>-246525</v>
      </c>
      <c r="P16">
        <v>-55888</v>
      </c>
      <c r="Q16">
        <v>246342</v>
      </c>
      <c r="R16">
        <v>-200800</v>
      </c>
      <c r="S16">
        <v>-45542</v>
      </c>
      <c r="T16">
        <f t="shared" si="5"/>
        <v>1.2276103953040893</v>
      </c>
      <c r="U16">
        <f t="shared" si="2"/>
        <v>1.2277141434262948</v>
      </c>
      <c r="V16" s="1">
        <f t="shared" si="3"/>
        <v>1.2271749154626499</v>
      </c>
    </row>
    <row r="17" spans="1:22" x14ac:dyDescent="0.25">
      <c r="A17">
        <v>140</v>
      </c>
      <c r="B17">
        <v>80</v>
      </c>
      <c r="C17" s="1">
        <v>-40</v>
      </c>
      <c r="D17" s="1">
        <v>-20</v>
      </c>
      <c r="E17" s="2" t="s">
        <v>2</v>
      </c>
      <c r="F17" t="s">
        <v>6</v>
      </c>
      <c r="G17" t="s">
        <v>12</v>
      </c>
      <c r="H17">
        <v>1</v>
      </c>
      <c r="I17">
        <v>180</v>
      </c>
      <c r="J17">
        <v>-40</v>
      </c>
      <c r="K17">
        <v>0</v>
      </c>
      <c r="L17">
        <v>140</v>
      </c>
      <c r="M17" t="s">
        <v>24</v>
      </c>
      <c r="N17">
        <v>316935</v>
      </c>
      <c r="O17">
        <v>-206860</v>
      </c>
      <c r="P17">
        <v>-110077</v>
      </c>
      <c r="Q17">
        <v>258143</v>
      </c>
      <c r="R17">
        <v>-168579</v>
      </c>
      <c r="S17">
        <v>-89565</v>
      </c>
      <c r="T17">
        <f t="shared" si="5"/>
        <v>1.2277497356116571</v>
      </c>
      <c r="U17">
        <f t="shared" si="2"/>
        <v>1.2270804785886735</v>
      </c>
      <c r="V17" s="1">
        <f t="shared" si="3"/>
        <v>1.2290180315971642</v>
      </c>
    </row>
    <row r="18" spans="1:22" x14ac:dyDescent="0.25">
      <c r="A18">
        <v>150</v>
      </c>
      <c r="B18">
        <v>90</v>
      </c>
      <c r="C18" s="1">
        <v>-30</v>
      </c>
      <c r="D18" s="1">
        <v>-30</v>
      </c>
      <c r="E18" s="2" t="s">
        <v>2</v>
      </c>
      <c r="F18" t="s">
        <v>6</v>
      </c>
      <c r="G18" t="s">
        <v>12</v>
      </c>
      <c r="H18">
        <v>1</v>
      </c>
      <c r="I18">
        <v>180</v>
      </c>
      <c r="J18">
        <v>-30</v>
      </c>
      <c r="K18">
        <v>1</v>
      </c>
      <c r="L18">
        <v>150</v>
      </c>
      <c r="M18" t="s">
        <v>24</v>
      </c>
      <c r="N18">
        <v>321803</v>
      </c>
      <c r="O18">
        <v>-160913</v>
      </c>
      <c r="P18">
        <v>-160920</v>
      </c>
      <c r="Q18">
        <v>262144</v>
      </c>
      <c r="R18">
        <v>-131137</v>
      </c>
      <c r="S18">
        <v>-131006</v>
      </c>
      <c r="T18">
        <f t="shared" si="5"/>
        <v>1.2275810241699219</v>
      </c>
      <c r="U18" s="1">
        <f t="shared" si="2"/>
        <v>1.2270602499675911</v>
      </c>
      <c r="V18">
        <f t="shared" si="3"/>
        <v>1.228340686686106</v>
      </c>
    </row>
    <row r="19" spans="1:22" x14ac:dyDescent="0.25">
      <c r="A19">
        <v>160</v>
      </c>
      <c r="B19">
        <v>80</v>
      </c>
      <c r="C19" s="1">
        <v>-20</v>
      </c>
      <c r="D19" s="1">
        <v>-40</v>
      </c>
      <c r="E19" s="2" t="s">
        <v>0</v>
      </c>
      <c r="F19" t="s">
        <v>9</v>
      </c>
      <c r="G19" t="s">
        <v>13</v>
      </c>
      <c r="H19">
        <v>1</v>
      </c>
      <c r="I19">
        <v>180</v>
      </c>
      <c r="J19">
        <v>-20</v>
      </c>
      <c r="K19">
        <v>1</v>
      </c>
      <c r="L19">
        <v>160</v>
      </c>
      <c r="M19" t="s">
        <v>24</v>
      </c>
      <c r="N19">
        <v>316941</v>
      </c>
      <c r="O19">
        <v>-110075</v>
      </c>
      <c r="P19">
        <v>-206868</v>
      </c>
      <c r="Q19">
        <v>258172</v>
      </c>
      <c r="R19">
        <v>-89711</v>
      </c>
      <c r="S19">
        <v>-168460</v>
      </c>
      <c r="T19">
        <f t="shared" si="5"/>
        <v>1.2276350649954293</v>
      </c>
      <c r="U19" s="1">
        <f t="shared" si="2"/>
        <v>1.2269955746786905</v>
      </c>
      <c r="V19">
        <f t="shared" si="3"/>
        <v>1.2279947762080019</v>
      </c>
    </row>
    <row r="20" spans="1:22" x14ac:dyDescent="0.25">
      <c r="A20">
        <v>170</v>
      </c>
      <c r="B20">
        <v>70</v>
      </c>
      <c r="C20" s="1">
        <v>-10</v>
      </c>
      <c r="D20" s="1">
        <v>-50</v>
      </c>
      <c r="E20" s="2" t="s">
        <v>0</v>
      </c>
      <c r="F20" t="s">
        <v>9</v>
      </c>
      <c r="G20" t="s">
        <v>13</v>
      </c>
      <c r="H20">
        <v>1</v>
      </c>
      <c r="I20">
        <v>180</v>
      </c>
      <c r="J20">
        <v>-10</v>
      </c>
      <c r="K20">
        <v>1</v>
      </c>
      <c r="L20">
        <v>170</v>
      </c>
      <c r="M20" t="s">
        <v>21</v>
      </c>
      <c r="N20">
        <v>302417</v>
      </c>
      <c r="O20">
        <v>-55884</v>
      </c>
      <c r="P20">
        <v>-246534</v>
      </c>
      <c r="Q20">
        <v>246342</v>
      </c>
      <c r="R20">
        <v>-45542</v>
      </c>
      <c r="S20">
        <v>-200800</v>
      </c>
      <c r="T20">
        <f t="shared" si="5"/>
        <v>1.2276306922895812</v>
      </c>
      <c r="U20" s="1">
        <f t="shared" si="2"/>
        <v>1.2270870844495192</v>
      </c>
      <c r="V20">
        <f t="shared" si="3"/>
        <v>1.2277589641434263</v>
      </c>
    </row>
    <row r="21" spans="1:22" x14ac:dyDescent="0.25">
      <c r="A21">
        <v>180</v>
      </c>
      <c r="B21" s="1">
        <v>60</v>
      </c>
      <c r="C21" s="1">
        <v>0</v>
      </c>
      <c r="D21">
        <v>-60</v>
      </c>
      <c r="E21" s="2" t="s">
        <v>0</v>
      </c>
      <c r="F21" t="s">
        <v>9</v>
      </c>
      <c r="G21" t="s">
        <v>14</v>
      </c>
      <c r="H21">
        <v>1</v>
      </c>
      <c r="I21">
        <v>180</v>
      </c>
      <c r="J21">
        <v>0</v>
      </c>
      <c r="K21">
        <v>1</v>
      </c>
      <c r="L21">
        <v>180</v>
      </c>
      <c r="M21" t="s">
        <v>21</v>
      </c>
      <c r="N21">
        <v>278713</v>
      </c>
      <c r="O21">
        <v>0</v>
      </c>
      <c r="P21">
        <v>-278713</v>
      </c>
      <c r="Q21">
        <v>227023</v>
      </c>
      <c r="R21">
        <v>0</v>
      </c>
      <c r="S21">
        <v>-227023</v>
      </c>
      <c r="T21">
        <f t="shared" si="5"/>
        <v>1.227686181576316</v>
      </c>
      <c r="U21" s="1" t="e">
        <f t="shared" si="2"/>
        <v>#DIV/0!</v>
      </c>
      <c r="V21">
        <f t="shared" si="3"/>
        <v>1.227686181576316</v>
      </c>
    </row>
    <row r="22" spans="1:22" x14ac:dyDescent="0.25">
      <c r="A22">
        <v>190</v>
      </c>
      <c r="B22" s="1">
        <v>50</v>
      </c>
      <c r="C22" s="1">
        <v>10</v>
      </c>
      <c r="D22">
        <v>-70</v>
      </c>
      <c r="E22" s="2" t="s">
        <v>0</v>
      </c>
      <c r="F22" t="s">
        <v>9</v>
      </c>
      <c r="G22" t="s">
        <v>14</v>
      </c>
      <c r="H22">
        <v>1</v>
      </c>
      <c r="I22">
        <v>180</v>
      </c>
      <c r="J22">
        <v>10</v>
      </c>
      <c r="K22">
        <v>1</v>
      </c>
      <c r="L22">
        <v>190</v>
      </c>
      <c r="M22" t="s">
        <v>21</v>
      </c>
      <c r="N22">
        <v>246534</v>
      </c>
      <c r="O22">
        <v>55884</v>
      </c>
      <c r="P22">
        <v>-302417</v>
      </c>
      <c r="Q22">
        <v>200802</v>
      </c>
      <c r="R22">
        <v>45538</v>
      </c>
      <c r="S22">
        <v>-246340</v>
      </c>
      <c r="T22">
        <f t="shared" si="5"/>
        <v>1.2277467355902829</v>
      </c>
      <c r="U22" s="1">
        <f t="shared" si="2"/>
        <v>1.2271948702182793</v>
      </c>
      <c r="V22">
        <f t="shared" si="3"/>
        <v>1.2276406592514411</v>
      </c>
    </row>
    <row r="23" spans="1:22" x14ac:dyDescent="0.25">
      <c r="A23">
        <v>200</v>
      </c>
      <c r="B23" s="1">
        <v>40</v>
      </c>
      <c r="C23" s="1">
        <v>20</v>
      </c>
      <c r="D23">
        <v>-80</v>
      </c>
      <c r="E23" s="2" t="s">
        <v>0</v>
      </c>
      <c r="F23" t="s">
        <v>9</v>
      </c>
      <c r="G23" t="s">
        <v>14</v>
      </c>
      <c r="H23">
        <v>1</v>
      </c>
      <c r="I23">
        <v>180</v>
      </c>
      <c r="J23">
        <v>20</v>
      </c>
      <c r="K23">
        <v>1</v>
      </c>
      <c r="L23">
        <v>200</v>
      </c>
      <c r="M23" t="s">
        <v>24</v>
      </c>
      <c r="N23">
        <v>206868</v>
      </c>
      <c r="O23">
        <v>110075</v>
      </c>
      <c r="P23">
        <v>-316941</v>
      </c>
      <c r="Q23">
        <v>168465</v>
      </c>
      <c r="R23">
        <v>89705</v>
      </c>
      <c r="S23">
        <v>-258169</v>
      </c>
      <c r="T23">
        <f t="shared" si="5"/>
        <v>1.2279583296233638</v>
      </c>
      <c r="U23" s="1">
        <f t="shared" si="2"/>
        <v>1.2270776433866564</v>
      </c>
      <c r="V23">
        <f t="shared" si="3"/>
        <v>1.2276493304773231</v>
      </c>
    </row>
    <row r="24" spans="1:22" x14ac:dyDescent="0.25">
      <c r="A24">
        <v>210</v>
      </c>
      <c r="B24" s="1">
        <v>30</v>
      </c>
      <c r="C24" s="1">
        <v>30</v>
      </c>
      <c r="D24">
        <v>-90</v>
      </c>
      <c r="E24" s="2" t="s">
        <v>0</v>
      </c>
      <c r="F24" t="s">
        <v>9</v>
      </c>
      <c r="G24" t="s">
        <v>14</v>
      </c>
      <c r="H24">
        <v>1</v>
      </c>
      <c r="I24">
        <v>180</v>
      </c>
      <c r="J24">
        <v>30</v>
      </c>
      <c r="K24">
        <v>1</v>
      </c>
      <c r="L24">
        <v>210</v>
      </c>
      <c r="M24" t="s">
        <v>24</v>
      </c>
      <c r="N24">
        <v>160920</v>
      </c>
      <c r="O24">
        <v>160913</v>
      </c>
      <c r="P24">
        <v>-321830</v>
      </c>
      <c r="Q24">
        <v>131015</v>
      </c>
      <c r="R24">
        <v>131129</v>
      </c>
      <c r="S24">
        <v>-262143</v>
      </c>
      <c r="T24">
        <f t="shared" si="5"/>
        <v>1.2282563065297867</v>
      </c>
      <c r="U24" s="1">
        <f t="shared" si="2"/>
        <v>1.2271351112263496</v>
      </c>
      <c r="V24">
        <f t="shared" si="3"/>
        <v>1.227688704256837</v>
      </c>
    </row>
    <row r="25" spans="1:22" x14ac:dyDescent="0.25">
      <c r="A25">
        <v>220</v>
      </c>
      <c r="B25" s="1">
        <v>20</v>
      </c>
      <c r="C25" s="1">
        <v>40</v>
      </c>
      <c r="D25">
        <v>-80</v>
      </c>
      <c r="E25" s="2" t="s">
        <v>1</v>
      </c>
      <c r="F25" t="s">
        <v>7</v>
      </c>
      <c r="G25" t="s">
        <v>11</v>
      </c>
      <c r="H25">
        <v>1</v>
      </c>
      <c r="I25">
        <v>180</v>
      </c>
      <c r="J25">
        <v>40</v>
      </c>
      <c r="K25">
        <v>1</v>
      </c>
      <c r="L25">
        <v>220</v>
      </c>
      <c r="M25" t="s">
        <v>24</v>
      </c>
      <c r="N25">
        <v>110077</v>
      </c>
      <c r="O25">
        <v>206860</v>
      </c>
      <c r="P25">
        <v>-316935</v>
      </c>
      <c r="Q25">
        <v>89578</v>
      </c>
      <c r="R25">
        <v>168568</v>
      </c>
      <c r="S25">
        <v>-258146</v>
      </c>
      <c r="T25" s="1">
        <f t="shared" si="5"/>
        <v>1.2288396704547992</v>
      </c>
      <c r="U25">
        <f t="shared" si="2"/>
        <v>1.2271605524180154</v>
      </c>
      <c r="V25">
        <f t="shared" si="3"/>
        <v>1.2277354675261287</v>
      </c>
    </row>
    <row r="26" spans="1:22" x14ac:dyDescent="0.25">
      <c r="A26">
        <v>230</v>
      </c>
      <c r="B26" s="1">
        <v>10</v>
      </c>
      <c r="C26" s="1">
        <v>50</v>
      </c>
      <c r="D26">
        <v>-70</v>
      </c>
      <c r="E26" s="2" t="s">
        <v>1</v>
      </c>
      <c r="F26" t="s">
        <v>7</v>
      </c>
      <c r="G26" t="s">
        <v>11</v>
      </c>
      <c r="H26">
        <v>0</v>
      </c>
      <c r="I26">
        <v>240</v>
      </c>
      <c r="J26">
        <v>10</v>
      </c>
      <c r="K26">
        <v>0</v>
      </c>
      <c r="L26">
        <v>230</v>
      </c>
      <c r="M26" t="s">
        <v>21</v>
      </c>
      <c r="N26">
        <v>55888</v>
      </c>
      <c r="O26">
        <v>246525</v>
      </c>
      <c r="P26">
        <v>-302412</v>
      </c>
      <c r="Q26">
        <v>45537</v>
      </c>
      <c r="R26">
        <v>200803</v>
      </c>
      <c r="S26">
        <v>-246341</v>
      </c>
      <c r="T26" s="1">
        <f t="shared" si="5"/>
        <v>1.2273096602762588</v>
      </c>
      <c r="U26">
        <f t="shared" si="2"/>
        <v>1.2276958013575494</v>
      </c>
      <c r="V26">
        <f t="shared" si="3"/>
        <v>1.2276153786823956</v>
      </c>
    </row>
    <row r="27" spans="1:22" x14ac:dyDescent="0.25">
      <c r="A27">
        <v>240</v>
      </c>
      <c r="B27" s="1">
        <v>0</v>
      </c>
      <c r="C27" s="1">
        <v>60</v>
      </c>
      <c r="D27">
        <v>-60</v>
      </c>
      <c r="E27" s="2" t="s">
        <v>1</v>
      </c>
      <c r="F27" t="s">
        <v>7</v>
      </c>
      <c r="G27" t="s">
        <v>11</v>
      </c>
      <c r="H27">
        <v>0</v>
      </c>
      <c r="I27">
        <v>240</v>
      </c>
      <c r="J27">
        <v>0</v>
      </c>
      <c r="K27">
        <v>0</v>
      </c>
      <c r="L27">
        <v>240</v>
      </c>
      <c r="M27" t="s">
        <v>21</v>
      </c>
      <c r="N27">
        <v>0</v>
      </c>
      <c r="O27">
        <v>278705</v>
      </c>
      <c r="P27">
        <v>-278705</v>
      </c>
      <c r="Q27">
        <v>0</v>
      </c>
      <c r="R27">
        <v>227023</v>
      </c>
      <c r="S27">
        <v>-227023</v>
      </c>
      <c r="T27" t="e">
        <f t="shared" si="5"/>
        <v>#DIV/0!</v>
      </c>
      <c r="U27">
        <f t="shared" si="2"/>
        <v>1.2276509428560103</v>
      </c>
      <c r="V27">
        <f t="shared" si="3"/>
        <v>1.2276509428560103</v>
      </c>
    </row>
    <row r="28" spans="1:22" x14ac:dyDescent="0.25">
      <c r="A28">
        <v>250</v>
      </c>
      <c r="B28" s="1">
        <v>-10</v>
      </c>
      <c r="C28">
        <v>70</v>
      </c>
      <c r="D28" s="1">
        <v>-50</v>
      </c>
      <c r="E28" s="2" t="s">
        <v>1</v>
      </c>
      <c r="F28" t="s">
        <v>7</v>
      </c>
      <c r="G28" t="s">
        <v>12</v>
      </c>
      <c r="H28">
        <v>0</v>
      </c>
      <c r="I28">
        <v>240</v>
      </c>
      <c r="J28">
        <v>-10</v>
      </c>
      <c r="K28">
        <v>0</v>
      </c>
      <c r="L28">
        <v>250</v>
      </c>
      <c r="M28" t="s">
        <v>21</v>
      </c>
      <c r="N28">
        <v>-55888</v>
      </c>
      <c r="O28">
        <v>302412</v>
      </c>
      <c r="P28">
        <v>-246525</v>
      </c>
      <c r="Q28">
        <v>-45542</v>
      </c>
      <c r="R28">
        <v>246342</v>
      </c>
      <c r="S28">
        <v>-200800</v>
      </c>
      <c r="T28">
        <f t="shared" si="5"/>
        <v>1.2271749154626499</v>
      </c>
      <c r="U28">
        <f t="shared" si="2"/>
        <v>1.2276103953040893</v>
      </c>
      <c r="V28">
        <f t="shared" si="3"/>
        <v>1.2277141434262948</v>
      </c>
    </row>
    <row r="29" spans="1:22" x14ac:dyDescent="0.25">
      <c r="A29">
        <v>260</v>
      </c>
      <c r="B29" s="1">
        <v>-20</v>
      </c>
      <c r="C29">
        <v>80</v>
      </c>
      <c r="D29" s="1">
        <v>-40</v>
      </c>
      <c r="E29" s="2" t="s">
        <v>1</v>
      </c>
      <c r="F29" t="s">
        <v>7</v>
      </c>
      <c r="G29" t="s">
        <v>12</v>
      </c>
      <c r="H29">
        <v>2</v>
      </c>
      <c r="I29">
        <v>300</v>
      </c>
      <c r="J29">
        <v>-40</v>
      </c>
      <c r="K29">
        <v>1</v>
      </c>
      <c r="L29">
        <v>260</v>
      </c>
      <c r="M29" t="s">
        <v>23</v>
      </c>
      <c r="N29">
        <v>-110077</v>
      </c>
      <c r="O29">
        <v>316935</v>
      </c>
      <c r="P29">
        <v>-206860</v>
      </c>
      <c r="Q29">
        <v>-89563</v>
      </c>
      <c r="R29">
        <v>258142</v>
      </c>
      <c r="S29">
        <v>-168580</v>
      </c>
      <c r="T29">
        <f t="shared" si="5"/>
        <v>1.2290454763685896</v>
      </c>
      <c r="U29">
        <f t="shared" si="2"/>
        <v>1.227754491713863</v>
      </c>
      <c r="V29">
        <f t="shared" si="3"/>
        <v>1.2270731996678135</v>
      </c>
    </row>
    <row r="30" spans="1:22" x14ac:dyDescent="0.25">
      <c r="A30">
        <v>270</v>
      </c>
      <c r="B30" s="1">
        <v>-30</v>
      </c>
      <c r="C30">
        <v>90</v>
      </c>
      <c r="D30" s="1">
        <v>-30</v>
      </c>
      <c r="E30" s="2" t="s">
        <v>1</v>
      </c>
      <c r="F30" t="s">
        <v>7</v>
      </c>
      <c r="G30" t="s">
        <v>12</v>
      </c>
      <c r="H30">
        <v>2</v>
      </c>
      <c r="I30">
        <v>300</v>
      </c>
      <c r="J30">
        <v>-30</v>
      </c>
      <c r="K30">
        <v>1</v>
      </c>
      <c r="L30">
        <v>270</v>
      </c>
      <c r="M30" t="s">
        <v>23</v>
      </c>
      <c r="N30">
        <v>-160920</v>
      </c>
      <c r="O30">
        <v>321830</v>
      </c>
      <c r="P30">
        <v>-160913</v>
      </c>
      <c r="Q30">
        <v>-131006</v>
      </c>
      <c r="R30">
        <v>262144</v>
      </c>
      <c r="S30">
        <v>-131137</v>
      </c>
      <c r="T30">
        <f t="shared" si="5"/>
        <v>1.228340686686106</v>
      </c>
      <c r="U30">
        <f t="shared" si="2"/>
        <v>1.2276840209960938</v>
      </c>
      <c r="V30" s="1">
        <f t="shared" si="3"/>
        <v>1.2270602499675911</v>
      </c>
    </row>
    <row r="31" spans="1:22" x14ac:dyDescent="0.25">
      <c r="A31">
        <v>280</v>
      </c>
      <c r="B31" s="1">
        <v>-40</v>
      </c>
      <c r="C31">
        <v>80</v>
      </c>
      <c r="D31" s="1">
        <v>-20</v>
      </c>
      <c r="E31" s="2" t="s">
        <v>2</v>
      </c>
      <c r="F31" t="s">
        <v>10</v>
      </c>
      <c r="G31" t="s">
        <v>13</v>
      </c>
      <c r="H31">
        <v>2</v>
      </c>
      <c r="I31">
        <v>300</v>
      </c>
      <c r="J31">
        <v>-20</v>
      </c>
      <c r="K31">
        <v>1</v>
      </c>
      <c r="L31">
        <v>280</v>
      </c>
      <c r="M31" t="s">
        <v>23</v>
      </c>
      <c r="N31">
        <v>-206868</v>
      </c>
      <c r="O31">
        <v>316941</v>
      </c>
      <c r="P31">
        <v>-110075</v>
      </c>
      <c r="Q31">
        <v>-168460</v>
      </c>
      <c r="R31">
        <v>258172</v>
      </c>
      <c r="S31">
        <v>-89711</v>
      </c>
      <c r="T31">
        <f t="shared" si="5"/>
        <v>1.2279947762080019</v>
      </c>
      <c r="U31">
        <f t="shared" si="2"/>
        <v>1.2276350649954293</v>
      </c>
      <c r="V31" s="1">
        <f t="shared" si="3"/>
        <v>1.2269955746786905</v>
      </c>
    </row>
    <row r="32" spans="1:22" x14ac:dyDescent="0.25">
      <c r="A32">
        <v>290</v>
      </c>
      <c r="B32" s="1">
        <v>-50</v>
      </c>
      <c r="C32">
        <v>70</v>
      </c>
      <c r="D32" s="1">
        <v>-10</v>
      </c>
      <c r="E32" s="2" t="s">
        <v>2</v>
      </c>
      <c r="F32" t="s">
        <v>10</v>
      </c>
      <c r="G32" t="s">
        <v>13</v>
      </c>
      <c r="H32">
        <v>2</v>
      </c>
      <c r="I32">
        <v>300</v>
      </c>
      <c r="J32">
        <v>-10</v>
      </c>
      <c r="K32">
        <v>1</v>
      </c>
      <c r="L32">
        <v>290</v>
      </c>
      <c r="M32" t="s">
        <v>21</v>
      </c>
      <c r="N32">
        <v>-246534</v>
      </c>
      <c r="O32">
        <v>302417</v>
      </c>
      <c r="P32">
        <v>-55884</v>
      </c>
      <c r="Q32">
        <v>-200800</v>
      </c>
      <c r="R32">
        <v>246342</v>
      </c>
      <c r="S32">
        <v>-45542</v>
      </c>
      <c r="T32">
        <f t="shared" si="5"/>
        <v>1.2277589641434263</v>
      </c>
      <c r="U32">
        <f t="shared" si="2"/>
        <v>1.2276306922895812</v>
      </c>
      <c r="V32" s="1">
        <f t="shared" si="3"/>
        <v>1.2270870844495192</v>
      </c>
    </row>
    <row r="33" spans="1:22" x14ac:dyDescent="0.25">
      <c r="A33">
        <v>300</v>
      </c>
      <c r="B33">
        <v>-60</v>
      </c>
      <c r="C33" s="1">
        <v>60</v>
      </c>
      <c r="D33" s="1">
        <v>0</v>
      </c>
      <c r="E33" s="2" t="s">
        <v>2</v>
      </c>
      <c r="F33" t="s">
        <v>10</v>
      </c>
      <c r="G33" t="s">
        <v>14</v>
      </c>
      <c r="H33">
        <v>2</v>
      </c>
      <c r="I33">
        <v>300</v>
      </c>
      <c r="J33">
        <v>0</v>
      </c>
      <c r="K33">
        <v>1</v>
      </c>
      <c r="L33">
        <v>300</v>
      </c>
      <c r="M33" t="s">
        <v>21</v>
      </c>
      <c r="N33">
        <v>-278713</v>
      </c>
      <c r="O33">
        <v>278713</v>
      </c>
      <c r="P33">
        <v>0</v>
      </c>
      <c r="Q33">
        <v>-227023</v>
      </c>
      <c r="R33">
        <v>227023</v>
      </c>
      <c r="S33">
        <v>0</v>
      </c>
      <c r="T33">
        <f t="shared" si="5"/>
        <v>1.227686181576316</v>
      </c>
      <c r="U33">
        <f t="shared" si="2"/>
        <v>1.227686181576316</v>
      </c>
      <c r="V33" s="1" t="e">
        <f t="shared" si="3"/>
        <v>#DIV/0!</v>
      </c>
    </row>
    <row r="34" spans="1:22" x14ac:dyDescent="0.25">
      <c r="A34">
        <v>310</v>
      </c>
      <c r="B34">
        <v>-70</v>
      </c>
      <c r="C34" s="1">
        <v>50</v>
      </c>
      <c r="D34" s="1">
        <v>10</v>
      </c>
      <c r="E34" s="2" t="s">
        <v>2</v>
      </c>
      <c r="F34" t="s">
        <v>10</v>
      </c>
      <c r="G34" t="s">
        <v>14</v>
      </c>
      <c r="H34">
        <v>2</v>
      </c>
      <c r="I34">
        <v>300</v>
      </c>
      <c r="J34">
        <v>10</v>
      </c>
      <c r="K34">
        <v>1</v>
      </c>
      <c r="L34">
        <v>310</v>
      </c>
      <c r="M34" t="s">
        <v>21</v>
      </c>
      <c r="N34">
        <v>-302417</v>
      </c>
      <c r="O34">
        <v>246534</v>
      </c>
      <c r="P34">
        <v>55884</v>
      </c>
      <c r="Q34">
        <v>-246340</v>
      </c>
      <c r="R34">
        <v>200802</v>
      </c>
      <c r="S34">
        <v>45538</v>
      </c>
      <c r="T34">
        <f t="shared" si="5"/>
        <v>1.2276406592514411</v>
      </c>
      <c r="U34">
        <f t="shared" si="2"/>
        <v>1.2277467355902829</v>
      </c>
      <c r="V34" s="1">
        <f t="shared" si="3"/>
        <v>1.2271948702182793</v>
      </c>
    </row>
    <row r="35" spans="1:22" x14ac:dyDescent="0.25">
      <c r="A35">
        <v>320</v>
      </c>
      <c r="B35">
        <v>-80</v>
      </c>
      <c r="C35" s="1">
        <v>40</v>
      </c>
      <c r="D35" s="1">
        <v>20</v>
      </c>
      <c r="E35" s="2" t="s">
        <v>2</v>
      </c>
      <c r="F35" t="s">
        <v>10</v>
      </c>
      <c r="G35" t="s">
        <v>14</v>
      </c>
      <c r="H35">
        <v>2</v>
      </c>
      <c r="I35">
        <v>300</v>
      </c>
      <c r="J35">
        <v>20</v>
      </c>
      <c r="K35">
        <v>1</v>
      </c>
      <c r="L35">
        <v>320</v>
      </c>
      <c r="M35" t="s">
        <v>23</v>
      </c>
      <c r="N35">
        <v>-316941</v>
      </c>
      <c r="O35">
        <v>206868</v>
      </c>
      <c r="P35">
        <v>110075</v>
      </c>
      <c r="Q35">
        <v>-258169</v>
      </c>
      <c r="R35">
        <v>168465</v>
      </c>
      <c r="S35">
        <v>89705</v>
      </c>
      <c r="T35">
        <f t="shared" si="5"/>
        <v>1.2276493304773231</v>
      </c>
      <c r="U35">
        <f t="shared" si="2"/>
        <v>1.2279583296233638</v>
      </c>
      <c r="V35" s="1">
        <f t="shared" si="3"/>
        <v>1.2270776433866564</v>
      </c>
    </row>
    <row r="36" spans="1:22" x14ac:dyDescent="0.25">
      <c r="A36">
        <v>330</v>
      </c>
      <c r="B36">
        <v>-90</v>
      </c>
      <c r="C36" s="1">
        <v>30</v>
      </c>
      <c r="D36" s="1">
        <v>30</v>
      </c>
      <c r="E36" s="2" t="s">
        <v>2</v>
      </c>
      <c r="F36" t="s">
        <v>10</v>
      </c>
      <c r="G36" t="s">
        <v>14</v>
      </c>
      <c r="H36">
        <v>2</v>
      </c>
      <c r="I36">
        <v>300</v>
      </c>
      <c r="J36">
        <v>30</v>
      </c>
      <c r="K36">
        <v>1</v>
      </c>
      <c r="L36">
        <v>330</v>
      </c>
      <c r="M36" t="s">
        <v>23</v>
      </c>
      <c r="N36">
        <v>-321830</v>
      </c>
      <c r="O36">
        <v>160920</v>
      </c>
      <c r="P36">
        <v>160913</v>
      </c>
      <c r="Q36">
        <v>-262143</v>
      </c>
      <c r="R36">
        <v>131015</v>
      </c>
      <c r="S36">
        <v>131129</v>
      </c>
      <c r="T36">
        <f t="shared" si="5"/>
        <v>1.227688704256837</v>
      </c>
      <c r="U36">
        <f t="shared" si="2"/>
        <v>1.2282563065297867</v>
      </c>
      <c r="V36" s="1">
        <f t="shared" si="3"/>
        <v>1.2271351112263496</v>
      </c>
    </row>
    <row r="37" spans="1:22" x14ac:dyDescent="0.25">
      <c r="A37">
        <v>340</v>
      </c>
      <c r="B37">
        <v>-80</v>
      </c>
      <c r="C37" s="1">
        <v>20</v>
      </c>
      <c r="D37" s="1">
        <v>40</v>
      </c>
      <c r="E37" s="2" t="s">
        <v>0</v>
      </c>
      <c r="F37" t="s">
        <v>5</v>
      </c>
      <c r="G37" t="s">
        <v>11</v>
      </c>
      <c r="H37">
        <v>2</v>
      </c>
      <c r="I37">
        <v>300</v>
      </c>
      <c r="J37">
        <v>40</v>
      </c>
      <c r="K37">
        <v>1</v>
      </c>
      <c r="L37">
        <v>340</v>
      </c>
      <c r="M37" t="s">
        <v>23</v>
      </c>
      <c r="N37">
        <v>-316935</v>
      </c>
      <c r="O37">
        <v>110077</v>
      </c>
      <c r="P37">
        <v>206860</v>
      </c>
      <c r="Q37">
        <v>-258146</v>
      </c>
      <c r="R37">
        <v>89578</v>
      </c>
      <c r="S37">
        <v>168568</v>
      </c>
      <c r="T37">
        <f t="shared" si="5"/>
        <v>1.2277354675261287</v>
      </c>
      <c r="U37" s="1">
        <f t="shared" si="2"/>
        <v>1.2288396704547992</v>
      </c>
      <c r="V37">
        <f t="shared" si="3"/>
        <v>1.2271605524180154</v>
      </c>
    </row>
    <row r="38" spans="1:22" x14ac:dyDescent="0.25">
      <c r="A38">
        <v>350</v>
      </c>
      <c r="B38">
        <v>-70</v>
      </c>
      <c r="C38" s="1">
        <v>10</v>
      </c>
      <c r="D38" s="1">
        <v>50</v>
      </c>
      <c r="E38" s="2" t="s">
        <v>0</v>
      </c>
      <c r="F38" t="s">
        <v>5</v>
      </c>
      <c r="G38" t="s">
        <v>11</v>
      </c>
      <c r="H38">
        <v>0</v>
      </c>
      <c r="I38">
        <v>0</v>
      </c>
      <c r="J38">
        <v>10</v>
      </c>
      <c r="K38">
        <v>0</v>
      </c>
      <c r="L38">
        <v>350</v>
      </c>
      <c r="M38" t="s">
        <v>21</v>
      </c>
      <c r="N38">
        <v>-302412</v>
      </c>
      <c r="O38">
        <v>55888</v>
      </c>
      <c r="P38">
        <v>246525</v>
      </c>
      <c r="Q38">
        <v>-246341</v>
      </c>
      <c r="R38">
        <v>45537</v>
      </c>
      <c r="S38">
        <v>200803</v>
      </c>
      <c r="T38">
        <f t="shared" si="5"/>
        <v>1.2276153786823956</v>
      </c>
      <c r="U38" s="1">
        <f t="shared" si="2"/>
        <v>1.2273096602762588</v>
      </c>
      <c r="V38">
        <f t="shared" si="3"/>
        <v>1.2276958013575494</v>
      </c>
    </row>
    <row r="39" spans="1:22" x14ac:dyDescent="0.25">
      <c r="E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Leif Ekblad</dc:creator>
  <cp:lastModifiedBy>Leif Ekblad</cp:lastModifiedBy>
  <dcterms:created xsi:type="dcterms:W3CDTF">2025-12-28T15:20:26Z</dcterms:created>
  <dcterms:modified xsi:type="dcterms:W3CDTF">2025-12-31T13:53:50Z</dcterms:modified>
</cp:coreProperties>
</file>